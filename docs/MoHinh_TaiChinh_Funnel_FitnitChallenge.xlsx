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 hinh Funnel" sheetId="1" state="visible" r:id="rId1"/>
    <sheet name="Kich ban 90 ngay" sheetId="2" state="visible" r:id="rId2"/>
    <sheet name="KPI hang t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B5E20"/>
      <sz val="16"/>
    </font>
    <font>
      <i val="1"/>
      <color rgb="00666666"/>
    </font>
    <font>
      <b val="1"/>
    </font>
    <font>
      <i val="1"/>
      <color rgb="00B00020"/>
    </font>
    <font>
      <b val="1"/>
      <color rgb="00FFFFFF"/>
      <sz val="11"/>
    </font>
    <font>
      <b val="1"/>
      <color rgb="001B5E20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</cols>
  <sheetData>
    <row r="1">
      <c r="A1" s="1" t="inlineStr">
        <is>
          <t>FITNIT CHALLENGE — MÔ HÌNH FUNNEL &amp; DOANH THU</t>
        </is>
      </c>
    </row>
    <row r="2">
      <c r="A2" s="2" t="inlineStr">
        <is>
          <t>Ô VÀNG = nhập tay (đổi để thử kịch bản). Ô khác = tự tính bằng công thức.</t>
        </is>
      </c>
    </row>
    <row r="4">
      <c r="A4" s="3" t="inlineStr">
        <is>
          <t>GIẢ ĐỊNH ĐẦU VÀO (sửa ô vàng)</t>
        </is>
      </c>
      <c r="B4" s="4" t="n"/>
      <c r="C4" s="4" t="n"/>
    </row>
    <row r="5">
      <c r="A5" s="5" t="inlineStr">
        <is>
          <t>Lượt đăng ký / tháng (signup)</t>
        </is>
      </c>
      <c r="B5" s="6" t="n">
        <v>800</v>
      </c>
      <c r="C5" s="7" t="inlineStr">
        <is>
          <t>người</t>
        </is>
      </c>
    </row>
    <row r="6">
      <c r="A6" s="5" t="inlineStr">
        <is>
          <t>Tỉ lệ Activation (hoàn tất onboarding + tạo plan)</t>
        </is>
      </c>
      <c r="B6" s="8" t="n">
        <v>0.55</v>
      </c>
      <c r="C6" s="7" t="inlineStr">
        <is>
          <t>%</t>
        </is>
      </c>
    </row>
    <row r="7">
      <c r="A7" s="5" t="inlineStr">
        <is>
          <t>Tỉ lệ Free → Paid</t>
        </is>
      </c>
      <c r="B7" s="8" t="n">
        <v>0.04</v>
      </c>
      <c r="C7" s="7" t="inlineStr">
        <is>
          <t>%</t>
        </is>
      </c>
    </row>
    <row r="8">
      <c r="A8" s="5" t="inlineStr">
        <is>
          <t>Tỉ trọng chọn PRO trong nhóm paid</t>
        </is>
      </c>
      <c r="B8" s="8" t="n">
        <v>0.55</v>
      </c>
      <c r="C8" s="7" t="inlineStr">
        <is>
          <t>%</t>
        </is>
      </c>
    </row>
    <row r="9">
      <c r="A9" s="5" t="inlineStr">
        <is>
          <t>Giá PLUS (VND/tháng)</t>
        </is>
      </c>
      <c r="B9" s="9" t="n">
        <v>79000</v>
      </c>
      <c r="C9" s="7" t="inlineStr">
        <is>
          <t>đ</t>
        </is>
      </c>
    </row>
    <row r="10">
      <c r="A10" s="5" t="inlineStr">
        <is>
          <t>Giá PRO (VND/tháng)</t>
        </is>
      </c>
      <c r="B10" s="9" t="n">
        <v>99000</v>
      </c>
      <c r="C10" s="7" t="inlineStr">
        <is>
          <t>đ</t>
        </is>
      </c>
    </row>
    <row r="11">
      <c r="A11" s="5" t="inlineStr">
        <is>
          <t>Churn tháng (rời bỏ)</t>
        </is>
      </c>
      <c r="B11" s="8" t="n">
        <v>0.12</v>
      </c>
      <c r="C11" s="7" t="inlineStr">
        <is>
          <t>%</t>
        </is>
      </c>
    </row>
    <row r="12">
      <c r="A12" s="5" t="inlineStr">
        <is>
          <t>Chi phí AI bình quân / user hoạt động / tháng</t>
        </is>
      </c>
      <c r="B12" s="9" t="n">
        <v>6000</v>
      </c>
      <c r="C12" s="7" t="inlineStr">
        <is>
          <t>đ</t>
        </is>
      </c>
    </row>
    <row r="13">
      <c r="A13" s="5" t="inlineStr">
        <is>
          <t>CAC — chi phí kiếm 1 khách trả tiền</t>
        </is>
      </c>
      <c r="B13" s="9" t="n">
        <v>25000</v>
      </c>
      <c r="C13" s="7" t="inlineStr">
        <is>
          <t>đ</t>
        </is>
      </c>
    </row>
    <row r="14">
      <c r="A14" s="5" t="inlineStr">
        <is>
          <t>Số gym B2B ký mới / tháng</t>
        </is>
      </c>
      <c r="B14" s="6" t="n">
        <v>1</v>
      </c>
      <c r="C14" s="7" t="inlineStr">
        <is>
          <t>gym</t>
        </is>
      </c>
    </row>
    <row r="15">
      <c r="A15" s="5" t="inlineStr">
        <is>
          <t>Giá gym B2B (VND/tháng)</t>
        </is>
      </c>
      <c r="B15" s="9" t="n">
        <v>2500000</v>
      </c>
      <c r="C15" s="7" t="inlineStr">
        <is>
          <t>đ</t>
        </is>
      </c>
    </row>
    <row r="18">
      <c r="A18" s="3" t="inlineStr">
        <is>
          <t>KẾT QUẢ THÁNG (tự tính)</t>
        </is>
      </c>
      <c r="B18" s="4" t="n"/>
      <c r="C18" s="4" t="n"/>
    </row>
    <row r="19">
      <c r="A19" s="5" t="inlineStr">
        <is>
          <t>Người activated</t>
        </is>
      </c>
      <c r="B19" s="10">
        <f>B5*B6</f>
        <v/>
      </c>
      <c r="C19" s="5" t="n"/>
    </row>
    <row r="20">
      <c r="A20" s="5" t="inlineStr">
        <is>
          <t>Khách trả tiền MỚI / tháng</t>
        </is>
      </c>
      <c r="B20" s="10">
        <f>B5*B7</f>
        <v/>
      </c>
      <c r="C20" s="5" t="n"/>
    </row>
    <row r="21">
      <c r="A21" s="5" t="inlineStr">
        <is>
          <t xml:space="preserve">  - trong đó PRO</t>
        </is>
      </c>
      <c r="B21" s="10">
        <f>B5*B7*B8</f>
        <v/>
      </c>
      <c r="C21" s="5" t="n"/>
    </row>
    <row r="22">
      <c r="A22" s="5" t="inlineStr">
        <is>
          <t xml:space="preserve">  - trong đó PLUS</t>
        </is>
      </c>
      <c r="B22" s="10">
        <f>B5*B7*(1-B8)</f>
        <v/>
      </c>
      <c r="C22" s="5" t="n"/>
    </row>
    <row r="23">
      <c r="A23" s="5" t="inlineStr">
        <is>
          <t>MRR B2C mới (tháng này)</t>
        </is>
      </c>
      <c r="B23" s="11">
        <f>(B5*B7*B8*B10)+(B5*B7*(1-B8)*B9)</f>
        <v/>
      </c>
      <c r="C23" s="5" t="n"/>
    </row>
    <row r="24">
      <c r="A24" s="5" t="inlineStr">
        <is>
          <t>MRR B2B mới (gym)</t>
        </is>
      </c>
      <c r="B24" s="11">
        <f>B14*B15</f>
        <v/>
      </c>
      <c r="C24" s="5" t="n"/>
    </row>
    <row r="25">
      <c r="A25" s="5" t="inlineStr">
        <is>
          <t>Tổng doanh thu MỚI / tháng</t>
        </is>
      </c>
      <c r="B25" s="11">
        <f>B23+B24</f>
        <v/>
      </c>
      <c r="C25" s="5" t="n"/>
    </row>
    <row r="26">
      <c r="A26" s="5" t="inlineStr">
        <is>
          <t>Chi phí AI / tháng (trên paid)</t>
        </is>
      </c>
      <c r="B26" s="11">
        <f>(B5*B7)*B12</f>
        <v/>
      </c>
      <c r="C26" s="5" t="n"/>
    </row>
    <row r="27">
      <c r="A27" s="5" t="inlineStr">
        <is>
          <t>Chi phí CAC / tháng</t>
        </is>
      </c>
      <c r="B27" s="11">
        <f>(B5*B7)*B13</f>
        <v/>
      </c>
      <c r="C27" s="5" t="n"/>
    </row>
    <row r="28">
      <c r="A28" s="5" t="inlineStr">
        <is>
          <t>Lợi nhuận gộp tháng (DT mới - AI - CAC)</t>
        </is>
      </c>
      <c r="B28" s="11">
        <f>B25-B26-B27</f>
        <v/>
      </c>
      <c r="C28" s="5" t="n"/>
    </row>
    <row r="29">
      <c r="A29" s="5" t="inlineStr">
        <is>
          <t>LTV ước tính / khách PRO (giá/churn)</t>
        </is>
      </c>
      <c r="B29" s="11">
        <f>B10/B11</f>
        <v/>
      </c>
      <c r="C29" s="5" t="n"/>
    </row>
    <row r="30">
      <c r="A30" s="5" t="inlineStr">
        <is>
          <t>Tỉ lệ LTV : CAC</t>
        </is>
      </c>
      <c r="B30" s="12">
        <f>(B10/B11)/B13</f>
        <v/>
      </c>
      <c r="C30" s="5" t="n"/>
    </row>
    <row r="32">
      <c r="A32" s="13" t="inlineStr">
        <is>
          <t>Ghi chú: LTV:CAC nên ≥ 3 mới lành mạnh. Nếu &lt; 1 → đang lỗ mỗi khách, KHÔNG scale 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2" customWidth="1" min="4" max="4"/>
    <col width="40" customWidth="1" min="5" max="5"/>
  </cols>
  <sheetData>
    <row r="1">
      <c r="A1" s="1" t="inlineStr">
        <is>
          <t>3 KỊCH BẢN 90 NGÀY (mục tiêu thực tế thay vì 100M ép buộc)</t>
        </is>
      </c>
    </row>
    <row r="3">
      <c r="A3" s="14" t="inlineStr">
        <is>
          <t>Kịch bản</t>
        </is>
      </c>
      <c r="B3" s="14" t="inlineStr">
        <is>
          <t>B2C trả tiền</t>
        </is>
      </c>
      <c r="C3" s="14" t="inlineStr">
        <is>
          <t>Gym pilot</t>
        </is>
      </c>
      <c r="D3" s="14" t="inlineStr">
        <is>
          <t>Doanh thu 90 ngày (đ)</t>
        </is>
      </c>
      <c r="E3" s="14" t="inlineStr">
        <is>
          <t>Giá trị thật</t>
        </is>
      </c>
    </row>
    <row r="4">
      <c r="A4" s="3" t="inlineStr">
        <is>
          <t>Thận trọng</t>
        </is>
      </c>
      <c r="B4" s="7" t="n">
        <v>40</v>
      </c>
      <c r="C4" s="7" t="n">
        <v>1</v>
      </c>
      <c r="D4" s="11" t="n">
        <v>7500000</v>
      </c>
      <c r="E4" s="15" t="inlineStr">
        <is>
          <t>Validate funnel + 3-5 testimonial</t>
        </is>
      </c>
    </row>
    <row r="5">
      <c r="A5" s="3" t="inlineStr">
        <is>
          <t>Cơ sở</t>
        </is>
      </c>
      <c r="B5" s="7" t="n">
        <v>115</v>
      </c>
      <c r="C5" s="7" t="n">
        <v>2</v>
      </c>
      <c r="D5" s="11" t="n">
        <v>18000000</v>
      </c>
      <c r="E5" s="15" t="inlineStr">
        <is>
          <t>Tìm 1 kênh lặp lại + tín hiệu PMF</t>
        </is>
      </c>
    </row>
    <row r="6">
      <c r="A6" s="3" t="inlineStr">
        <is>
          <t>Lạc quan</t>
        </is>
      </c>
      <c r="B6" s="7" t="n">
        <v>200</v>
      </c>
      <c r="C6" s="7" t="n">
        <v>4</v>
      </c>
      <c r="D6" s="11" t="n">
        <v>40000000</v>
      </c>
      <c r="E6" s="15" t="inlineStr">
        <is>
          <t>Kênh scale được + 2-4 gym ký</t>
        </is>
      </c>
    </row>
    <row r="8">
      <c r="A8" s="16" t="inlineStr">
        <is>
          <t>Sự thật toán học: 100M/90 ngày từ B2C @99k = ~1.010 thuê bao PRO</t>
        </is>
      </c>
    </row>
    <row r="9">
      <c r="A9" t="inlineStr">
        <is>
          <t>→ cần 20.000–34.000 signup (conversion 3-5%). Không khả thi khởi đầu nguội, 1 người, 0 ngân sách ads.</t>
        </is>
      </c>
    </row>
    <row r="10">
      <c r="A10" s="17" t="inlineStr">
        <is>
          <t>→ Đường đến 100M = B2B: ~35–50 gym-tháng (15–20 gym/quý). Reframe 100M thành mục tiêu 6 THÁNG.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2" customWidth="1" min="9" max="9"/>
    <col width="24" customWidth="1" min="10" max="10"/>
  </cols>
  <sheetData>
    <row r="1">
      <c r="A1" s="1" t="inlineStr">
        <is>
          <t>BẢNG THEO DÕI KPI HÀNG TUẦN (điền mỗi Chủ nhật)</t>
        </is>
      </c>
    </row>
    <row r="2">
      <c r="A2" s="2" t="inlineStr">
        <is>
          <t>North Star: số plan được TẠO và THỰC HIỆN có log adherence / tuần</t>
        </is>
      </c>
    </row>
    <row r="4">
      <c r="A4" s="14" t="inlineStr">
        <is>
          <t>Tuần</t>
        </is>
      </c>
      <c r="B4" s="14" t="inlineStr">
        <is>
          <t>Signup</t>
        </is>
      </c>
      <c r="C4" s="14" t="inlineStr">
        <is>
          <t>Nguồn top</t>
        </is>
      </c>
      <c r="D4" s="14" t="inlineStr">
        <is>
          <t>Activation %</t>
        </is>
      </c>
      <c r="E4" s="14" t="inlineStr">
        <is>
          <t>Free→Paid %</t>
        </is>
      </c>
      <c r="F4" s="14" t="inlineStr">
        <is>
          <t>Khách trả mới</t>
        </is>
      </c>
      <c r="G4" s="14" t="inlineStr">
        <is>
          <t>Doanh thu (đ)</t>
        </is>
      </c>
      <c r="H4" s="14" t="inlineStr">
        <is>
          <t>Retention W2 %</t>
        </is>
      </c>
      <c r="I4" s="14" t="inlineStr">
        <is>
          <t>Testimonial</t>
        </is>
      </c>
      <c r="J4" s="14" t="inlineStr">
        <is>
          <t>Ghi chú</t>
        </is>
      </c>
    </row>
    <row r="5">
      <c r="A5" s="3" t="inlineStr">
        <is>
          <t>Tuần 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3" t="inlineStr">
        <is>
          <t>Tuần 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3" t="inlineStr">
        <is>
          <t>Tuần 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3" t="inlineStr">
        <is>
          <t>Tuần 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3" t="inlineStr">
        <is>
          <t>Tuần 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3" t="inlineStr">
        <is>
          <t>Tuần 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3" t="inlineStr">
        <is>
          <t>Tuần 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3" t="inlineStr">
        <is>
          <t>Tuần 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3" t="inlineStr">
        <is>
          <t>Tuần 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3" t="inlineStr">
        <is>
          <t>Tuần 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3" t="inlineStr">
        <is>
          <t>Tuần 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3" t="inlineStr">
        <is>
          <t>Tuần 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8">
      <c r="A18" s="16" t="inlineStr">
        <is>
          <t>3 query SQL gợi ý:</t>
        </is>
      </c>
    </row>
    <row r="19">
      <c r="A19" t="inlineStr">
        <is>
          <t>signup theo nguồn: SELECT signup_source, COUNT(*) FROM users WHERE created_at&gt;=... GROUP BY 1;</t>
        </is>
      </c>
    </row>
    <row r="20">
      <c r="A20" t="inlineStr">
        <is>
          <t>free→paid: SELECT COUNT(*) FILTER(WHERE ai_package_id&lt;&gt;FREE)*1.0/COUNT(*) FROM users;</t>
        </is>
      </c>
    </row>
    <row r="21">
      <c r="A21" t="inlineStr">
        <is>
          <t>giao dịch: SELECT DATE(created_at), SUM(amount) FROM transactions WHERE status='SUCCESS' GROUP BY 1;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2026-06-14T00:38:55Z</dcterms:created>
  <dcterms:modified xsi:type="dcterms:W3CDTF">2026-06-14T00:38:55Z</dcterms:modified>
</cp:coreProperties>
</file>