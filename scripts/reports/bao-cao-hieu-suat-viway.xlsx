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Google Analytics" sheetId="2" state="visible" r:id="rId2"/>
    <sheet name="Funnel Activation" sheetId="3" state="visible" r:id="rId3"/>
    <sheet name="Khuyến ngh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40" customWidth="1" min="5" max="5"/>
  </cols>
  <sheetData>
    <row r="2" ht="30" customHeight="1">
      <c r="B2" s="1" t="inlineStr">
        <is>
          <t>BÁO CÁO HIỆU SUẤT WEB — VIWAY</t>
        </is>
      </c>
    </row>
    <row r="3">
      <c r="B3" s="2" t="inlineStr">
        <is>
          <t>Kỳ dữ liệu GA: 22/6–19/7/2026 (~4 tuần) · Funnel: toàn bộ 125 user (14/7)</t>
        </is>
      </c>
    </row>
    <row r="5">
      <c r="B5" s="3" t="inlineStr">
        <is>
          <t>BẢNG SỨC KHỎE 4 TRỤ CỘT</t>
        </is>
      </c>
    </row>
    <row r="6">
      <c r="B6" s="4" t="inlineStr">
        <is>
          <t>Trụ cột</t>
        </is>
      </c>
      <c r="C6" s="4" t="inlineStr">
        <is>
          <t>Chỉ số chính</t>
        </is>
      </c>
      <c r="D6" s="4" t="inlineStr">
        <is>
          <t>Trạng thái</t>
        </is>
      </c>
      <c r="E6" s="4" t="inlineStr">
        <is>
          <t>Ghi chú</t>
        </is>
      </c>
    </row>
    <row r="7" ht="30" customHeight="1">
      <c r="B7" s="3" t="inlineStr">
        <is>
          <t>Thu hút (Acquisition)</t>
        </is>
      </c>
      <c r="C7" s="5" t="inlineStr">
        <is>
          <t>70 người dùng / 4 tuần</t>
        </is>
      </c>
      <c r="D7" s="6" t="inlineStr">
        <is>
          <t>🟡 Trung bình</t>
        </is>
      </c>
      <c r="E7" s="5" t="inlineStr">
        <is>
          <t>Traffic nhỏ, chưa có kênh bền vững</t>
        </is>
      </c>
    </row>
    <row r="8" ht="30" customHeight="1">
      <c r="B8" s="3" t="inlineStr">
        <is>
          <t>Kích hoạt (Activation)</t>
        </is>
      </c>
      <c r="C8" s="5" t="inlineStr">
        <is>
          <t>51/125 tập buổi đầu (41%)</t>
        </is>
      </c>
      <c r="D8" s="6" t="inlineStr">
        <is>
          <t>🟡 Trung bình</t>
        </is>
      </c>
      <c r="E8" s="5" t="inlineStr">
        <is>
          <t>Chưa tới một nửa số user</t>
        </is>
      </c>
    </row>
    <row r="9" ht="30" customHeight="1">
      <c r="B9" s="3" t="inlineStr">
        <is>
          <t>Giữ chân (Retention)</t>
        </is>
      </c>
      <c r="C9" s="5" t="inlineStr">
        <is>
          <t>99% là user mới; 121/125 im lặng 7+ ngày</t>
        </is>
      </c>
      <c r="D9" s="7" t="inlineStr">
        <is>
          <t>🔴 Yếu</t>
        </is>
      </c>
      <c r="E9" s="5" t="inlineStr">
        <is>
          <t>Điểm nghẽn lớn nhất — gần như không ai quay lại</t>
        </is>
      </c>
    </row>
    <row r="10" ht="30" customHeight="1">
      <c r="B10" s="3" t="inlineStr">
        <is>
          <t>Doanh thu (Revenue)</t>
        </is>
      </c>
      <c r="C10" s="5" t="inlineStr">
        <is>
          <t>0 đ trả phí</t>
        </is>
      </c>
      <c r="D10" s="7" t="inlineStr">
        <is>
          <t>🔴 Yếu</t>
        </is>
      </c>
      <c r="E10" s="5" t="inlineStr">
        <is>
          <t>Chưa validate được ai chịu trả tiền</t>
        </is>
      </c>
    </row>
    <row r="12">
      <c r="B12" s="3" t="inlineStr">
        <is>
          <t>KẾT LUẬN</t>
        </is>
      </c>
    </row>
    <row r="13" ht="60" customHeight="1">
      <c r="B13" s="8" t="inlineStr">
        <is>
          <t>Web CÓ người vào nhưng KHÔNG giữ được, và CHƯA ai trả tiền. Điểm nghẽn số 1 là RETENTION (giữ chân), không phải traffic. Ưu tiên: đưa người dùng quay lại (nhắc lịch tập, thông báo, thói quen) trước khi đổ tiền quảng cáo tăng traffic.</t>
        </is>
      </c>
    </row>
    <row r="14"/>
    <row r="15"/>
    <row r="17">
      <c r="B17" s="3" t="inlineStr">
        <is>
          <t>⚠️ Lưu ý độ tin cậy dữ liệu GA:</t>
        </is>
      </c>
    </row>
    <row r="18">
      <c r="B18" s="9" t="inlineStr">
        <is>
          <t>• GA chỉ track được 1 trang (app là SPA) → chưa đo được click/bỏ-bước bên trong app. Cần gắn event tracking.</t>
        </is>
      </c>
    </row>
    <row r="19">
      <c r="B19" s="9" t="inlineStr">
        <is>
          <t>• Dữ liệu thật tập trung ~11 ngày cuối kỳ (retention cohort ngày 0–16 = 0).</t>
        </is>
      </c>
    </row>
    <row r="20">
      <c r="B20" s="9" t="inlineStr">
        <is>
          <t>• Property nằm dưới 'Default Account for Firebase / car-parking-system' nhưng số liệu đúng là của Viway.</t>
        </is>
      </c>
    </row>
  </sheetData>
  <mergeCells count="6">
    <mergeCell ref="B20:E20"/>
    <mergeCell ref="B18:E18"/>
    <mergeCell ref="B13:E15"/>
    <mergeCell ref="B3:E3"/>
    <mergeCell ref="B19:E19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44" customWidth="1" min="4" max="4"/>
  </cols>
  <sheetData>
    <row r="2" ht="26" customHeight="1">
      <c r="B2" s="1" t="inlineStr">
        <is>
          <t>GOOGLE ANALYTICS — 22/6 đến 19/7/2026</t>
        </is>
      </c>
    </row>
    <row r="4">
      <c r="B4" s="4" t="inlineStr">
        <is>
          <t>Chỉ số</t>
        </is>
      </c>
      <c r="C4" s="4" t="inlineStr">
        <is>
          <t>Giá trị</t>
        </is>
      </c>
      <c r="D4" s="4" t="inlineStr">
        <is>
          <t>Nhận định</t>
        </is>
      </c>
    </row>
    <row r="5" ht="24" customHeight="1">
      <c r="B5" s="3" t="inlineStr">
        <is>
          <t>Người dùng hoạt động</t>
        </is>
      </c>
      <c r="C5" s="10" t="n">
        <v>70</v>
      </c>
      <c r="D5" s="5" t="inlineStr">
        <is>
          <t>≈55% trong 125 user đã đăng ký có ghé</t>
        </is>
      </c>
    </row>
    <row r="6" ht="24" customHeight="1">
      <c r="B6" s="3" t="inlineStr">
        <is>
          <t>Người dùng mới</t>
        </is>
      </c>
      <c r="C6" s="10" t="n">
        <v>69</v>
      </c>
      <c r="D6" s="5" t="inlineStr">
        <is>
          <t>🔴 99% là mới → gần như không có người quay lại</t>
        </is>
      </c>
    </row>
    <row r="7" ht="24" customHeight="1">
      <c r="B7" s="3" t="inlineStr">
        <is>
          <t>Phiên (sessions)</t>
        </is>
      </c>
      <c r="C7" s="10" t="n">
        <v>151</v>
      </c>
      <c r="D7" s="5" t="inlineStr"/>
    </row>
    <row r="8" ht="24" customHeight="1">
      <c r="B8" s="3" t="inlineStr">
        <is>
          <t>Lượt xem trang</t>
        </is>
      </c>
      <c r="C8" s="10" t="n">
        <v>558</v>
      </c>
      <c r="D8" s="5" t="inlineStr">
        <is>
          <t>Chỉ đếm được trang landing (SPA)</t>
        </is>
      </c>
    </row>
    <row r="9" ht="24" customHeight="1">
      <c r="B9" s="3" t="inlineStr">
        <is>
          <t>Tỉ lệ thoát (bounce)</t>
        </is>
      </c>
      <c r="C9" s="11" t="n">
        <v>0.329</v>
      </c>
      <c r="D9" s="5" t="inlineStr">
        <is>
          <t>🟢 Chấp nhận được (&lt;40%)</t>
        </is>
      </c>
    </row>
    <row r="10" ht="24" customHeight="1">
      <c r="B10" s="3" t="inlineStr">
        <is>
          <t>TG gắn kết TB / người</t>
        </is>
      </c>
      <c r="C10" s="10" t="inlineStr">
        <is>
          <t>≈18 giây</t>
        </is>
      </c>
      <c r="D10" s="5" t="inlineStr">
        <is>
          <t>🔴 Thấp — bị SPA làm méo, nên xem tham khảo</t>
        </is>
      </c>
    </row>
    <row r="12">
      <c r="B12" s="3" t="inlineStr">
        <is>
          <t>NGUỒN TRAFFIC (theo phiên)</t>
        </is>
      </c>
    </row>
    <row r="13">
      <c r="B13" s="4" t="inlineStr">
        <is>
          <t>Nguồn / phương tiện</t>
        </is>
      </c>
      <c r="C13" s="4" t="inlineStr">
        <is>
          <t>Phiên</t>
        </is>
      </c>
      <c r="D13" s="4" t="inlineStr">
        <is>
          <t>% tổng</t>
        </is>
      </c>
    </row>
    <row r="14">
      <c r="B14" s="5" t="inlineStr">
        <is>
          <t>(direct) / (none)</t>
        </is>
      </c>
      <c r="C14" s="10" t="n">
        <v>135</v>
      </c>
      <c r="D14" s="11">
        <f>C14/$C$22</f>
        <v/>
      </c>
    </row>
    <row r="15">
      <c r="B15" s="5" t="inlineStr">
        <is>
          <t>facebook.com / referral</t>
        </is>
      </c>
      <c r="C15" s="10" t="n">
        <v>5</v>
      </c>
      <c r="D15" s="11">
        <f>C15/$C$22</f>
        <v/>
      </c>
    </row>
    <row r="16">
      <c r="B16" s="5" t="inlineStr">
        <is>
          <t>m.facebook.com / referral</t>
        </is>
      </c>
      <c r="C16" s="10" t="n">
        <v>5</v>
      </c>
      <c r="D16" s="11">
        <f>C16/$C$22</f>
        <v/>
      </c>
    </row>
    <row r="17">
      <c r="B17" s="5" t="inlineStr">
        <is>
          <t>tiktok.com / referral</t>
        </is>
      </c>
      <c r="C17" s="10" t="n">
        <v>2</v>
      </c>
      <c r="D17" s="11">
        <f>C17/$C$22</f>
        <v/>
      </c>
    </row>
    <row r="18">
      <c r="B18" s="5" t="inlineStr">
        <is>
          <t>facebook / (not set)</t>
        </is>
      </c>
      <c r="C18" s="10" t="n">
        <v>1</v>
      </c>
      <c r="D18" s="11">
        <f>C18/$C$22</f>
        <v/>
      </c>
    </row>
    <row r="19">
      <c r="B19" s="5" t="inlineStr">
        <is>
          <t>google / organic</t>
        </is>
      </c>
      <c r="C19" s="10" t="n">
        <v>1</v>
      </c>
      <c r="D19" s="11">
        <f>C19/$C$22</f>
        <v/>
      </c>
    </row>
    <row r="20">
      <c r="B20" s="5" t="inlineStr">
        <is>
          <t>jp.zaloapp.com / referral</t>
        </is>
      </c>
      <c r="C20" s="10" t="n">
        <v>1</v>
      </c>
      <c r="D20" s="11">
        <f>C20/$C$22</f>
        <v/>
      </c>
    </row>
    <row r="21">
      <c r="B21" s="5" t="inlineStr">
        <is>
          <t>lm.facebook.com / referral</t>
        </is>
      </c>
      <c r="C21" s="10" t="n">
        <v>1</v>
      </c>
      <c r="D21" s="11">
        <f>C21/$C$22</f>
        <v/>
      </c>
    </row>
    <row r="22">
      <c r="B22" s="12" t="inlineStr">
        <is>
          <t>Tổng</t>
        </is>
      </c>
      <c r="C22" s="13">
        <f>SUM(C14:C21)</f>
        <v/>
      </c>
      <c r="D22" s="14">
        <f>C22/C22</f>
        <v/>
      </c>
    </row>
    <row r="23">
      <c r="B23" s="9" t="inlineStr">
        <is>
          <t>→ 89% direct: phụ thuộc 1 kênh; SEO/organic gần như bằng 0.</t>
        </is>
      </c>
    </row>
    <row r="25">
      <c r="B25" s="3" t="inlineStr">
        <is>
          <t>NGƯỜI DÙNG THEO THÀNH PHỐ (top)</t>
        </is>
      </c>
    </row>
    <row r="26">
      <c r="B26" s="4" t="inlineStr">
        <is>
          <t>Thành phố</t>
        </is>
      </c>
      <c r="C26" s="4" t="inlineStr">
        <is>
          <t>Người dùng</t>
        </is>
      </c>
      <c r="D26" s="4" t="inlineStr"/>
    </row>
    <row r="27">
      <c r="B27" s="5" t="inlineStr">
        <is>
          <t>TP. Hồ Chí Minh</t>
        </is>
      </c>
      <c r="C27" s="10" t="n">
        <v>29</v>
      </c>
      <c r="D27" s="5" t="inlineStr"/>
    </row>
    <row r="28">
      <c r="B28" s="5" t="inlineStr">
        <is>
          <t>Hà Nội</t>
        </is>
      </c>
      <c r="C28" s="10" t="n">
        <v>11</v>
      </c>
      <c r="D28" s="5" t="inlineStr"/>
    </row>
    <row r="29">
      <c r="B29" s="5" t="inlineStr">
        <is>
          <t>Hải Phòng</t>
        </is>
      </c>
      <c r="C29" s="10" t="n">
        <v>7</v>
      </c>
      <c r="D29" s="5" t="inlineStr"/>
    </row>
    <row r="30">
      <c r="B30" s="5" t="inlineStr">
        <is>
          <t>Đà Nẵng</t>
        </is>
      </c>
      <c r="C30" s="10" t="n">
        <v>5</v>
      </c>
      <c r="D30" s="5" t="inlineStr"/>
    </row>
    <row r="31">
      <c r="B31" s="5" t="inlineStr">
        <is>
          <t>Khác (Cần Thơ, Nam Định, Hoa Lư...)</t>
        </is>
      </c>
      <c r="C31" s="10" t="n">
        <v>5</v>
      </c>
      <c r="D31" s="5" t="inlineStr"/>
    </row>
    <row r="32">
      <c r="B32" s="5" t="inlineStr">
        <is>
          <t>Nước ngoài (bot/crawler?)</t>
        </is>
      </c>
      <c r="C32" s="10" t="n">
        <v>8</v>
      </c>
      <c r="D32" s="5" t="inlineStr"/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2" ht="26" customHeight="1">
      <c r="B2" s="1" t="inlineStr">
        <is>
          <t>FUNNEL KÍCH HOẠT — toàn bộ 125 user (14/7)</t>
        </is>
      </c>
    </row>
    <row r="4">
      <c r="B4" s="4" t="inlineStr">
        <is>
          <t>Bước</t>
        </is>
      </c>
      <c r="C4" s="4" t="inlineStr">
        <is>
          <t>Số user</t>
        </is>
      </c>
      <c r="D4" s="4" t="inlineStr">
        <is>
          <t>% so với đăng ký</t>
        </is>
      </c>
      <c r="E4" s="4" t="inlineStr">
        <is>
          <t>% giữ lại bước trước</t>
        </is>
      </c>
      <c r="F4" s="4" t="inlineStr">
        <is>
          <t>Rớt so bước trước</t>
        </is>
      </c>
    </row>
    <row r="5" ht="22" customHeight="1">
      <c r="B5" s="3" t="inlineStr">
        <is>
          <t>1. Đăng ký</t>
        </is>
      </c>
      <c r="C5" s="10" t="n">
        <v>125</v>
      </c>
      <c r="D5" s="11">
        <f>C5/$C$5</f>
        <v/>
      </c>
      <c r="E5" s="10" t="inlineStr">
        <is>
          <t>—</t>
        </is>
      </c>
      <c r="F5" s="10" t="inlineStr">
        <is>
          <t>—</t>
        </is>
      </c>
    </row>
    <row r="6" ht="22" customHeight="1">
      <c r="B6" s="3" t="inlineStr">
        <is>
          <t>2. Hoàn thành hồ sơ</t>
        </is>
      </c>
      <c r="C6" s="10" t="n">
        <v>114</v>
      </c>
      <c r="D6" s="11">
        <f>C6/$C$5</f>
        <v/>
      </c>
      <c r="E6" s="11">
        <f>C6/C5</f>
        <v/>
      </c>
      <c r="F6" s="11">
        <f>1-C6/C5</f>
        <v/>
      </c>
    </row>
    <row r="7" ht="22" customHeight="1">
      <c r="B7" s="3" t="inlineStr">
        <is>
          <t>3. Sinh kế hoạch (AI)</t>
        </is>
      </c>
      <c r="C7" s="10" t="n">
        <v>64</v>
      </c>
      <c r="D7" s="11">
        <f>C7/$C$5</f>
        <v/>
      </c>
      <c r="E7" s="15">
        <f>C7/C6</f>
        <v/>
      </c>
      <c r="F7" s="15">
        <f>1-C7/C6</f>
        <v/>
      </c>
    </row>
    <row r="8" ht="22" customHeight="1">
      <c r="B8" s="3" t="inlineStr">
        <is>
          <t>4. Tập buổi đầu tiên</t>
        </is>
      </c>
      <c r="C8" s="10" t="n">
        <v>51</v>
      </c>
      <c r="D8" s="11">
        <f>C8/$C$5</f>
        <v/>
      </c>
      <c r="E8" s="11">
        <f>C8/C7</f>
        <v/>
      </c>
      <c r="F8" s="11">
        <f>1-C8/C7</f>
        <v/>
      </c>
    </row>
    <row r="9" ht="22" customHeight="1">
      <c r="B9" s="3" t="inlineStr">
        <is>
          <t>5. Nâng cấp trả phí</t>
        </is>
      </c>
      <c r="C9" s="7" t="n">
        <v>0</v>
      </c>
      <c r="D9" s="11">
        <f>C9/$C$5</f>
        <v/>
      </c>
      <c r="E9" s="11">
        <f>C9/C8</f>
        <v/>
      </c>
      <c r="F9" s="11">
        <f>1-C9/C8</f>
        <v/>
      </c>
    </row>
    <row r="11" ht="30" customHeight="1">
      <c r="B11" s="3" t="inlineStr">
        <is>
          <t>Điểm rớt lớn nhất:</t>
        </is>
      </c>
      <c r="C11" s="16" t="inlineStr">
        <is>
          <t>Bước 'Sinh kế hoạch' — rớt 44% (114→64). Đã sửa UX (auto mở wizard, giảm field). Chờ đo hiệu quả.</t>
        </is>
      </c>
    </row>
    <row r="12" ht="30" customHeight="1">
      <c r="B12" s="3" t="inlineStr">
        <is>
          <t>Nghiêm trọng nhất:</t>
        </is>
      </c>
      <c r="C12" s="16" t="inlineStr">
        <is>
          <t>0% trả phí — chưa có doanh thu. Cần: kích hoạt SePay + thúc đẩy chuyển đổi ở nhóm 51 user đã tập.</t>
        </is>
      </c>
    </row>
  </sheetData>
  <mergeCells count="3">
    <mergeCell ref="B2:F2"/>
    <mergeCell ref="C12:F12"/>
    <mergeCell ref="C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6" customWidth="1" min="3" max="3"/>
    <col width="20" customWidth="1" min="4" max="4"/>
    <col width="22" customWidth="1" min="5" max="5"/>
  </cols>
  <sheetData>
    <row r="2" ht="26" customHeight="1">
      <c r="B2" s="1" t="inlineStr">
        <is>
          <t>KHUYẾN NGHỊ ƯU TIÊN</t>
        </is>
      </c>
    </row>
    <row r="4">
      <c r="B4" s="4" t="inlineStr">
        <is>
          <t>#</t>
        </is>
      </c>
      <c r="C4" s="4" t="inlineStr">
        <is>
          <t>Hành động</t>
        </is>
      </c>
      <c r="D4" s="4" t="inlineStr">
        <is>
          <t>Giải quyết vấn đề</t>
        </is>
      </c>
      <c r="E4" s="4" t="inlineStr">
        <is>
          <t>Mức ưu tiên</t>
        </is>
      </c>
    </row>
    <row r="5" ht="44" customHeight="1">
      <c r="B5" s="17" t="n">
        <v>1</v>
      </c>
      <c r="C5" s="5" t="inlineStr">
        <is>
          <t>Gắn event tracking (GA/Clarity) cho các nút: bắt đầu onboarding, sinh kế hoạch, hoàn thành buổi tập, bấm nâng cấp</t>
        </is>
      </c>
      <c r="D5" s="5" t="inlineStr">
        <is>
          <t>Đo được click &amp; bỏ-bước thật</t>
        </is>
      </c>
      <c r="E5" s="7" t="inlineStr">
        <is>
          <t>Cao — nền tảng</t>
        </is>
      </c>
    </row>
    <row r="6" ht="44" customHeight="1">
      <c r="B6" s="17" t="n">
        <v>2</v>
      </c>
      <c r="C6" s="5" t="inlineStr">
        <is>
          <t>Cơ chế đưa user quay lại: nhắc lịch tập, thông báo đẩy/email, streak thói quen</t>
        </is>
      </c>
      <c r="D6" s="5" t="inlineStr">
        <is>
          <t>Retention (🔴 yếu nhất)</t>
        </is>
      </c>
      <c r="E6" s="7" t="inlineStr">
        <is>
          <t>Cao</t>
        </is>
      </c>
    </row>
    <row r="7" ht="44" customHeight="1">
      <c r="B7" s="17" t="n">
        <v>3</v>
      </c>
      <c r="C7" s="5" t="inlineStr">
        <is>
          <t>Thúc đẩy chuyển đổi trả phí ở 51 user đã tập buổi đầu (ưu đãi, gọi/nhắn chăm sóc)</t>
        </is>
      </c>
      <c r="D7" s="5" t="inlineStr">
        <is>
          <t>Doanh thu 0đ</t>
        </is>
      </c>
      <c r="E7" s="7" t="inlineStr">
        <is>
          <t>Cao</t>
        </is>
      </c>
    </row>
    <row r="8" ht="44" customHeight="1">
      <c r="B8" s="17" t="n">
        <v>4</v>
      </c>
      <c r="C8" s="5" t="inlineStr">
        <is>
          <t>Đầu tư kênh acquisition bền vững (SEO nội dung, TikTok) thay vì chỉ direct/FB</t>
        </is>
      </c>
      <c r="D8" s="5" t="inlineStr">
        <is>
          <t>Thu hút phụ thuộc 1 kênh</t>
        </is>
      </c>
      <c r="E8" s="6" t="inlineStr">
        <is>
          <t>Trung bình</t>
        </is>
      </c>
    </row>
    <row r="9" ht="44" customHeight="1">
      <c r="B9" s="17" t="n">
        <v>5</v>
      </c>
      <c r="C9" s="5" t="inlineStr">
        <is>
          <t>Theo dõi lại funnel 'sinh kế hoạch' sau khi đã sửa UX để xác nhận có cải thiện</t>
        </is>
      </c>
      <c r="D9" s="5" t="inlineStr">
        <is>
          <t>Rớt 44% ở bước 3</t>
        </is>
      </c>
      <c r="E9" s="6" t="inlineStr">
        <is>
          <t>Trung bình</t>
        </is>
      </c>
    </row>
    <row r="11">
      <c r="B11" s="9" t="inlineStr">
        <is>
          <t>Nguồn số liệu: Google Analytics (export 22/6–19/7) + Admin dashboard funnel (14/7). Con số nhập tay từ 2 nguồn này; % được tính bằng công thức.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2026-07-20T09:45:06Z</dcterms:created>
  <dcterms:modified xsi:type="dcterms:W3CDTF">2026-07-20T09:45:06Z</dcterms:modified>
</cp:coreProperties>
</file>